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30" yWindow="490" windowWidth="18880" windowHeight="8740" activeTab="2"/>
  </bookViews>
  <sheets>
    <sheet name="Sales_Data" sheetId="1" r:id="rId1"/>
    <sheet name="Pivot Tables" sheetId="2" r:id="rId2"/>
    <sheet name="Dashboard" sheetId="7" r:id="rId3"/>
  </sheets>
  <definedNames>
    <definedName name="Slicer_Product">#N/A</definedName>
    <definedName name="Slicer_Region">#N/A</definedName>
    <definedName name="Slicer_Salesperson">#N/A</definedName>
  </definedNames>
  <calcPr calcId="144525"/>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G13" i="1" l="1"/>
  <c r="H13" i="1"/>
  <c r="H2" i="1"/>
  <c r="H3" i="1"/>
  <c r="H4" i="1"/>
  <c r="H5" i="1"/>
  <c r="H6" i="1"/>
  <c r="H7" i="1"/>
  <c r="H8" i="1"/>
  <c r="H9" i="1"/>
  <c r="H10" i="1"/>
  <c r="H11" i="1"/>
  <c r="H12" i="1"/>
  <c r="G2" i="1"/>
  <c r="G3" i="1"/>
  <c r="G4" i="1"/>
  <c r="G5" i="1"/>
  <c r="G6" i="1"/>
  <c r="G7" i="1"/>
  <c r="G8" i="1"/>
  <c r="G9" i="1"/>
  <c r="G10" i="1"/>
  <c r="G11" i="1"/>
  <c r="G12" i="1"/>
</calcChain>
</file>

<file path=xl/sharedStrings.xml><?xml version="1.0" encoding="utf-8"?>
<sst xmlns="http://schemas.openxmlformats.org/spreadsheetml/2006/main" count="97" uniqueCount="35">
  <si>
    <t>Order Date</t>
  </si>
  <si>
    <t>Region</t>
  </si>
  <si>
    <t>Product</t>
  </si>
  <si>
    <t>Salesperson</t>
  </si>
  <si>
    <t>Units Sold</t>
  </si>
  <si>
    <t>Unit Price</t>
  </si>
  <si>
    <t>01-01-2025</t>
  </si>
  <si>
    <t>North</t>
  </si>
  <si>
    <t>Laptop</t>
  </si>
  <si>
    <t>Ali</t>
  </si>
  <si>
    <t>02-01-2025</t>
  </si>
  <si>
    <t>South</t>
  </si>
  <si>
    <t>Mobile</t>
  </si>
  <si>
    <t>Sara</t>
  </si>
  <si>
    <t>03-01-2025</t>
  </si>
  <si>
    <t>East</t>
  </si>
  <si>
    <t>Tablet</t>
  </si>
  <si>
    <t>Ahmed</t>
  </si>
  <si>
    <t>04-01-2025</t>
  </si>
  <si>
    <t>West</t>
  </si>
  <si>
    <t>Ayesha</t>
  </si>
  <si>
    <t>05-01-2025</t>
  </si>
  <si>
    <t>06-01-2025</t>
  </si>
  <si>
    <t>07-01-2025</t>
  </si>
  <si>
    <t>08-01-2025</t>
  </si>
  <si>
    <t>09-01-2025</t>
  </si>
  <si>
    <t>10-01-2025</t>
  </si>
  <si>
    <t>11-01-2025</t>
  </si>
  <si>
    <t>12-01-2025</t>
  </si>
  <si>
    <t>Total Sales</t>
  </si>
  <si>
    <t>Row Labels</t>
  </si>
  <si>
    <t>Grand Total</t>
  </si>
  <si>
    <t>Sum of Total Sales</t>
  </si>
  <si>
    <t>Month</t>
  </si>
  <si>
    <t>Jan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</si>
</sst>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F400]h:mm:ss\ AM/PM"/>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2"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164" fontId="0" fillId="0" borderId="0" xfId="0" applyNumberFormat="1"/>
  </cellXfs>
  <cellStyles count="1">
    <cellStyle name="Normal" xfId="0" builtinId="0"/>
  </cellStyles>
  <dxfs count="2">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[Sales_Performance_Excel_Project.xlsx]Dashboard!PivotTable8</c:name>
    <c:fmtId val="0"/>
  </c:pivotSource>
  <c:chart>
    <c:title>
      <c:layout/>
      <c:overlay val="0"/>
    </c:title>
    <c:autoTitleDeleted val="0"/>
    <c:pivotFmts>
      <c:pivotFmt>
        <c:idx val="0"/>
        <c:marker>
          <c:symbol val="none"/>
        </c:marker>
      </c:pivotFmt>
    </c:pivotFmts>
    <c:plotArea>
      <c:layout/>
      <c:barChart>
        <c:barDir val="col"/>
        <c:grouping val="stacked"/>
        <c:varyColors val="0"/>
        <c:ser>
          <c:idx val="0"/>
          <c:order val="0"/>
          <c:tx>
            <c:strRef>
              <c:f>Dashboard!$B$2</c:f>
              <c:strCache>
                <c:ptCount val="1"/>
                <c:pt idx="0">
                  <c:v>Total</c:v>
                </c:pt>
              </c:strCache>
            </c:strRef>
          </c:tx>
          <c:invertIfNegative val="0"/>
          <c:cat>
            <c:strRef>
              <c:f>Dashboard!$A$3:$A$7</c:f>
              <c:strCache>
                <c:ptCount val="4"/>
                <c:pt idx="0">
                  <c:v>East</c:v>
                </c:pt>
                <c:pt idx="1">
                  <c:v>North</c:v>
                </c:pt>
                <c:pt idx="2">
                  <c:v>South</c:v>
                </c:pt>
                <c:pt idx="3">
                  <c:v>West</c:v>
                </c:pt>
              </c:strCache>
            </c:strRef>
          </c:cat>
          <c:val>
            <c:numRef>
              <c:f>Dashboard!$B$3:$B$7</c:f>
              <c:numCache>
                <c:formatCode>General</c:formatCode>
                <c:ptCount val="4"/>
                <c:pt idx="0">
                  <c:v>355000</c:v>
                </c:pt>
                <c:pt idx="1">
                  <c:v>410000</c:v>
                </c:pt>
                <c:pt idx="2">
                  <c:v>540000</c:v>
                </c:pt>
                <c:pt idx="3">
                  <c:v>445000</c:v>
                </c:pt>
              </c:numCache>
            </c:numRef>
          </c:val>
        </c:ser>
        <c:dLbls>
          <c:showLegendKey val="0"/>
          <c:showVal val="0"/>
          <c:showCatName val="0"/>
          <c:showSerName val="0"/>
          <c:showPercent val="0"/>
          <c:showBubbleSize val="0"/>
        </c:dLbls>
        <c:gapWidth val="150"/>
        <c:overlap val="100"/>
        <c:axId val="195328640"/>
        <c:axId val="195334528"/>
      </c:barChart>
      <c:catAx>
        <c:axId val="195328640"/>
        <c:scaling>
          <c:orientation val="minMax"/>
        </c:scaling>
        <c:delete val="0"/>
        <c:axPos val="b"/>
        <c:majorTickMark val="out"/>
        <c:minorTickMark val="none"/>
        <c:tickLblPos val="nextTo"/>
        <c:crossAx val="195334528"/>
        <c:crosses val="autoZero"/>
        <c:auto val="1"/>
        <c:lblAlgn val="ctr"/>
        <c:lblOffset val="100"/>
        <c:noMultiLvlLbl val="0"/>
      </c:catAx>
      <c:valAx>
        <c:axId val="195334528"/>
        <c:scaling>
          <c:orientation val="minMax"/>
        </c:scaling>
        <c:delete val="0"/>
        <c:axPos val="l"/>
        <c:numFmt formatCode="General" sourceLinked="1"/>
        <c:majorTickMark val="out"/>
        <c:minorTickMark val="none"/>
        <c:tickLblPos val="nextTo"/>
        <c:crossAx val="19532864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[Sales_Performance_Excel_Project.xlsx]Dashboard!PivotTable9</c:name>
    <c:fmtId val="0"/>
  </c:pivotSource>
  <c:chart>
    <c:title>
      <c:layout/>
      <c:overlay val="0"/>
    </c:title>
    <c:autoTitleDeleted val="0"/>
    <c:pivotFmts>
      <c:pivotFmt>
        <c:idx val="0"/>
        <c:marker>
          <c:symbol val="none"/>
        </c:marker>
      </c:pivotFmt>
    </c:pivotFmts>
    <c:plotArea>
      <c:layout/>
      <c:barChart>
        <c:barDir val="bar"/>
        <c:grouping val="stacked"/>
        <c:varyColors val="0"/>
        <c:ser>
          <c:idx val="0"/>
          <c:order val="0"/>
          <c:tx>
            <c:strRef>
              <c:f>Dashboard!$B$16</c:f>
              <c:strCache>
                <c:ptCount val="1"/>
                <c:pt idx="0">
                  <c:v>Total</c:v>
                </c:pt>
              </c:strCache>
            </c:strRef>
          </c:tx>
          <c:invertIfNegative val="0"/>
          <c:cat>
            <c:strRef>
              <c:f>Dashboard!$A$17:$A$20</c:f>
              <c:strCache>
                <c:ptCount val="3"/>
                <c:pt idx="0">
                  <c:v>Laptop</c:v>
                </c:pt>
                <c:pt idx="1">
                  <c:v>Mobile</c:v>
                </c:pt>
                <c:pt idx="2">
                  <c:v>Tablet</c:v>
                </c:pt>
              </c:strCache>
            </c:strRef>
          </c:cat>
          <c:val>
            <c:numRef>
              <c:f>Dashboard!$B$17:$B$20</c:f>
              <c:numCache>
                <c:formatCode>General</c:formatCode>
                <c:ptCount val="3"/>
                <c:pt idx="0">
                  <c:v>595000</c:v>
                </c:pt>
                <c:pt idx="1">
                  <c:v>855000</c:v>
                </c:pt>
                <c:pt idx="2">
                  <c:v>300000</c:v>
                </c:pt>
              </c:numCache>
            </c:numRef>
          </c:val>
        </c:ser>
        <c:dLbls>
          <c:showLegendKey val="0"/>
          <c:showVal val="0"/>
          <c:showCatName val="0"/>
          <c:showSerName val="0"/>
          <c:showPercent val="0"/>
          <c:showBubbleSize val="0"/>
        </c:dLbls>
        <c:gapWidth val="150"/>
        <c:overlap val="100"/>
        <c:axId val="195359104"/>
        <c:axId val="195360640"/>
      </c:barChart>
      <c:catAx>
        <c:axId val="195359104"/>
        <c:scaling>
          <c:orientation val="minMax"/>
        </c:scaling>
        <c:delete val="0"/>
        <c:axPos val="l"/>
        <c:majorTickMark val="out"/>
        <c:minorTickMark val="none"/>
        <c:tickLblPos val="nextTo"/>
        <c:crossAx val="195360640"/>
        <c:crosses val="autoZero"/>
        <c:auto val="1"/>
        <c:lblAlgn val="ctr"/>
        <c:lblOffset val="100"/>
        <c:noMultiLvlLbl val="0"/>
      </c:catAx>
      <c:valAx>
        <c:axId val="195360640"/>
        <c:scaling>
          <c:orientation val="minMax"/>
        </c:scaling>
        <c:delete val="0"/>
        <c:axPos val="b"/>
        <c:numFmt formatCode="General" sourceLinked="1"/>
        <c:majorTickMark val="out"/>
        <c:minorTickMark val="none"/>
        <c:tickLblPos val="nextTo"/>
        <c:crossAx val="19535910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[Sales_Performance_Excel_Project.xlsx]Dashboard!PivotTable10</c:name>
    <c:fmtId val="0"/>
  </c:pivotSource>
  <c:chart>
    <c:title>
      <c:layout/>
      <c:overlay val="0"/>
    </c:title>
    <c:autoTitleDeleted val="0"/>
    <c:pivotFmts>
      <c:pivotFmt>
        <c:idx val="0"/>
        <c:marker>
          <c:symbol val="none"/>
        </c:marker>
      </c:pivotFmt>
      <c:pivotFmt>
        <c:idx val="1"/>
        <c:marker>
          <c:symbol val="none"/>
        </c:marker>
        <c:dLbl>
          <c:idx val="0"/>
          <c:delete val="1"/>
        </c:dLbl>
      </c:pivotFmt>
      <c:pivotFmt>
        <c:idx val="2"/>
        <c:marker>
          <c:symbol val="none"/>
        </c:marker>
        <c:dLbl>
          <c:idx val="0"/>
          <c:delete val="1"/>
        </c:dLbl>
      </c:pivotFmt>
      <c:pivotFmt>
        <c:idx val="3"/>
        <c:marker>
          <c:symbol val="none"/>
        </c:marker>
        <c:dLbl>
          <c:idx val="0"/>
          <c:delete val="1"/>
        </c:dLbl>
      </c:pivotFmt>
      <c:pivotFmt>
        <c:idx val="4"/>
        <c:marker>
          <c:symbol val="none"/>
        </c:marker>
        <c:dLbl>
          <c:idx val="0"/>
          <c:delete val="1"/>
        </c:dLbl>
      </c:pivotFmt>
      <c:pivotFmt>
        <c:idx val="5"/>
        <c:marker>
          <c:symbol val="none"/>
        </c:marker>
      </c:pivotFmt>
    </c:pivotFmts>
    <c:plotArea>
      <c:layout/>
      <c:lineChart>
        <c:grouping val="percentStacked"/>
        <c:varyColors val="0"/>
        <c:ser>
          <c:idx val="0"/>
          <c:order val="0"/>
          <c:tx>
            <c:strRef>
              <c:f>Dashboard!$M$3</c:f>
              <c:strCache>
                <c:ptCount val="1"/>
                <c:pt idx="0">
                  <c:v>Total</c:v>
                </c:pt>
              </c:strCache>
            </c:strRef>
          </c:tx>
          <c:marker>
            <c:symbol val="none"/>
          </c:marker>
          <c:cat>
            <c:strRef>
              <c:f>Dashboard!$L$4:$L$5</c:f>
              <c:strCache>
                <c:ptCount val="1"/>
                <c:pt idx="0">
                  <c:v>Jan</c:v>
                </c:pt>
              </c:strCache>
            </c:strRef>
          </c:cat>
          <c:val>
            <c:numRef>
              <c:f>Dashboard!$M$4:$M$5</c:f>
              <c:numCache>
                <c:formatCode>General</c:formatCode>
                <c:ptCount val="1"/>
                <c:pt idx="0">
                  <c:v>1750000</c:v>
                </c:pt>
              </c:numCache>
            </c:numRef>
          </c:val>
          <c:smooth val="0"/>
        </c:ser>
        <c:dLbls>
          <c:showLegendKey val="0"/>
          <c:showVal val="0"/>
          <c:showCatName val="0"/>
          <c:showSerName val="0"/>
          <c:showPercent val="0"/>
          <c:showBubbleSize val="0"/>
        </c:dLbls>
        <c:marker val="1"/>
        <c:smooth val="0"/>
        <c:axId val="195512192"/>
        <c:axId val="195513728"/>
      </c:lineChart>
      <c:catAx>
        <c:axId val="195512192"/>
        <c:scaling>
          <c:orientation val="minMax"/>
        </c:scaling>
        <c:delete val="0"/>
        <c:axPos val="b"/>
        <c:majorTickMark val="none"/>
        <c:minorTickMark val="none"/>
        <c:tickLblPos val="nextTo"/>
        <c:crossAx val="195513728"/>
        <c:crosses val="autoZero"/>
        <c:auto val="1"/>
        <c:lblAlgn val="ctr"/>
        <c:lblOffset val="100"/>
        <c:noMultiLvlLbl val="0"/>
      </c:catAx>
      <c:valAx>
        <c:axId val="195513728"/>
        <c:scaling>
          <c:orientation val="minMax"/>
        </c:scaling>
        <c:delete val="0"/>
        <c:axPos val="l"/>
        <c:majorGridlines/>
        <c:title>
          <c:layout/>
          <c:overlay val="0"/>
        </c:title>
        <c:numFmt formatCode="0%" sourceLinked="1"/>
        <c:majorTickMark val="none"/>
        <c:minorTickMark val="none"/>
        <c:tickLblPos val="nextTo"/>
        <c:crossAx val="195512192"/>
        <c:crosses val="autoZero"/>
        <c:crossBetween val="between"/>
      </c:valAx>
    </c:plotArea>
    <c:legend>
      <c:legendPos val="r"/>
      <c:layout/>
      <c:overlay val="0"/>
    </c:legend>
    <c:plotVisOnly val="1"/>
    <c:dispBlanksAs val="zero"/>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301625</xdr:colOff>
      <xdr:row>0</xdr:row>
      <xdr:rowOff>47625</xdr:rowOff>
    </xdr:from>
    <xdr:to>
      <xdr:col>9</xdr:col>
      <xdr:colOff>63500</xdr:colOff>
      <xdr:row>12</xdr:row>
      <xdr:rowOff>19050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193675</xdr:colOff>
      <xdr:row>12</xdr:row>
      <xdr:rowOff>171451</xdr:rowOff>
    </xdr:from>
    <xdr:to>
      <xdr:col>8</xdr:col>
      <xdr:colOff>355600</xdr:colOff>
      <xdr:row>23</xdr:row>
      <xdr:rowOff>60325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305594</xdr:colOff>
      <xdr:row>6</xdr:row>
      <xdr:rowOff>150813</xdr:rowOff>
    </xdr:from>
    <xdr:to>
      <xdr:col>13</xdr:col>
      <xdr:colOff>119064</xdr:colOff>
      <xdr:row>18</xdr:row>
      <xdr:rowOff>63500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17</xdr:col>
      <xdr:colOff>319087</xdr:colOff>
      <xdr:row>0</xdr:row>
      <xdr:rowOff>68262</xdr:rowOff>
    </xdr:from>
    <xdr:to>
      <xdr:col>19</xdr:col>
      <xdr:colOff>293687</xdr:colOff>
      <xdr:row>7</xdr:row>
      <xdr:rowOff>166687</xdr:rowOff>
    </xdr:to>
    <mc:AlternateContent xmlns:mc="http://schemas.openxmlformats.org/markup-compatibility/2006" xmlns:a14="http://schemas.microsoft.com/office/drawing/2010/main">
      <mc:Choice Requires="a14">
        <xdr:graphicFrame macro="">
          <xdr:nvGraphicFramePr>
            <xdr:cNvPr id="5"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368212" y="68262"/>
              <a:ext cx="1196975" cy="1376363"/>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446088</xdr:colOff>
      <xdr:row>0</xdr:row>
      <xdr:rowOff>123825</xdr:rowOff>
    </xdr:from>
    <xdr:to>
      <xdr:col>17</xdr:col>
      <xdr:colOff>254001</xdr:colOff>
      <xdr:row>7</xdr:row>
      <xdr:rowOff>119062</xdr:rowOff>
    </xdr:to>
    <mc:AlternateContent xmlns:mc="http://schemas.openxmlformats.org/markup-compatibility/2006" xmlns:a14="http://schemas.microsoft.com/office/drawing/2010/main">
      <mc:Choice Requires="a14">
        <xdr:graphicFrame macro="">
          <xdr:nvGraphicFramePr>
            <xdr:cNvPr id="6"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1272838" y="123825"/>
              <a:ext cx="1030288" cy="12731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255587</xdr:colOff>
      <xdr:row>0</xdr:row>
      <xdr:rowOff>179388</xdr:rowOff>
    </xdr:from>
    <xdr:to>
      <xdr:col>15</xdr:col>
      <xdr:colOff>357187</xdr:colOff>
      <xdr:row>8</xdr:row>
      <xdr:rowOff>134938</xdr:rowOff>
    </xdr:to>
    <mc:AlternateContent xmlns:mc="http://schemas.openxmlformats.org/markup-compatibility/2006" xmlns:a14="http://schemas.microsoft.com/office/drawing/2010/main">
      <mc:Choice Requires="a14">
        <xdr:graphicFrame macro="">
          <xdr:nvGraphicFramePr>
            <xdr:cNvPr id="7" name="Salesperson"/>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9859962" y="179388"/>
              <a:ext cx="1323975" cy="141605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l Hafiz Enterprises" refreshedDate="46024.95814490741" createdVersion="4" refreshedVersion="4" minRefreshableVersion="3" recordCount="12">
  <cacheSource type="worksheet">
    <worksheetSource name="Table1"/>
  </cacheSource>
  <cacheFields count="8">
    <cacheField name="Order Date" numFmtId="0">
      <sharedItems/>
    </cacheField>
    <cacheField name="Region" numFmtId="0">
      <sharedItems count="4">
        <s v="North"/>
        <s v="South"/>
        <s v="East"/>
        <s v="West"/>
      </sharedItems>
    </cacheField>
    <cacheField name="Product" numFmtId="0">
      <sharedItems count="3">
        <s v="Laptop"/>
        <s v="Mobile"/>
        <s v="Tablet"/>
      </sharedItems>
    </cacheField>
    <cacheField name="Salesperson" numFmtId="0">
      <sharedItems count="4">
        <s v="Ali"/>
        <s v="Sara"/>
        <s v="Ahmed"/>
        <s v="Ayesha"/>
      </sharedItems>
    </cacheField>
    <cacheField name="Units Sold" numFmtId="0">
      <sharedItems containsSemiMixedTypes="0" containsString="0" containsNumber="1" containsInteger="1" minValue="1" maxValue="6"/>
    </cacheField>
    <cacheField name="Unit Price" numFmtId="0">
      <sharedItems containsSemiMixedTypes="0" containsString="0" containsNumber="1" containsInteger="1" minValue="30000" maxValue="85000"/>
    </cacheField>
    <cacheField name="Total Sales" numFmtId="0">
      <sharedItems containsSemiMixedTypes="0" containsString="0" containsNumber="1" containsInteger="1" minValue="60000" maxValue="270000" count="8">
        <n v="170000"/>
        <n v="225000"/>
        <n v="90000"/>
        <n v="85000"/>
        <n v="180000"/>
        <n v="60000"/>
        <n v="270000"/>
        <n v="255000"/>
      </sharedItems>
    </cacheField>
    <cacheField name="Month" numFmtId="0">
      <sharedItems count="1">
        <s v="Jan"/>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2">
  <r>
    <s v="01-01-2025"/>
    <x v="0"/>
    <x v="0"/>
    <x v="0"/>
    <n v="2"/>
    <n v="85000"/>
    <x v="0"/>
    <x v="0"/>
  </r>
  <r>
    <s v="02-01-2025"/>
    <x v="1"/>
    <x v="1"/>
    <x v="1"/>
    <n v="5"/>
    <n v="45000"/>
    <x v="1"/>
    <x v="0"/>
  </r>
  <r>
    <s v="03-01-2025"/>
    <x v="2"/>
    <x v="2"/>
    <x v="2"/>
    <n v="3"/>
    <n v="30000"/>
    <x v="2"/>
    <x v="0"/>
  </r>
  <r>
    <s v="04-01-2025"/>
    <x v="3"/>
    <x v="0"/>
    <x v="3"/>
    <n v="1"/>
    <n v="85000"/>
    <x v="3"/>
    <x v="0"/>
  </r>
  <r>
    <s v="05-01-2025"/>
    <x v="0"/>
    <x v="1"/>
    <x v="0"/>
    <n v="4"/>
    <n v="45000"/>
    <x v="4"/>
    <x v="0"/>
  </r>
  <r>
    <s v="06-01-2025"/>
    <x v="1"/>
    <x v="2"/>
    <x v="1"/>
    <n v="2"/>
    <n v="30000"/>
    <x v="5"/>
    <x v="0"/>
  </r>
  <r>
    <s v="07-01-2025"/>
    <x v="2"/>
    <x v="0"/>
    <x v="2"/>
    <n v="1"/>
    <n v="85000"/>
    <x v="3"/>
    <x v="0"/>
  </r>
  <r>
    <s v="08-01-2025"/>
    <x v="3"/>
    <x v="1"/>
    <x v="3"/>
    <n v="6"/>
    <n v="45000"/>
    <x v="6"/>
    <x v="0"/>
  </r>
  <r>
    <s v="09-01-2025"/>
    <x v="0"/>
    <x v="2"/>
    <x v="0"/>
    <n v="2"/>
    <n v="30000"/>
    <x v="5"/>
    <x v="0"/>
  </r>
  <r>
    <s v="10-01-2025"/>
    <x v="1"/>
    <x v="0"/>
    <x v="1"/>
    <n v="3"/>
    <n v="85000"/>
    <x v="7"/>
    <x v="0"/>
  </r>
  <r>
    <s v="11-01-2025"/>
    <x v="2"/>
    <x v="1"/>
    <x v="2"/>
    <n v="4"/>
    <n v="45000"/>
    <x v="4"/>
    <x v="0"/>
  </r>
  <r>
    <s v="12-01-2025"/>
    <x v="3"/>
    <x v="2"/>
    <x v="3"/>
    <n v="3"/>
    <n v="30000"/>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B8" firstHeaderRow="1" firstDataRow="1" firstDataCol="1"/>
  <pivotFields count="8">
    <pivotField showAll="0"/>
    <pivotField axis="axisRow"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defaultSubtotal="0"/>
  </pivotFields>
  <rowFields count="1">
    <field x="1"/>
  </rowFields>
  <rowItems count="5">
    <i>
      <x v="2"/>
    </i>
    <i>
      <x v="3"/>
    </i>
    <i>
      <x v="1"/>
    </i>
    <i>
      <x/>
    </i>
    <i t="grand">
      <x/>
    </i>
  </rowItems>
  <colItems count="1">
    <i/>
  </colItems>
  <dataFields count="1">
    <dataField name="Sum of Total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11:B16" firstHeaderRow="1" firstDataRow="1" firstDataCol="1"/>
  <pivotFields count="8">
    <pivotField showAll="0"/>
    <pivotField showAll="0"/>
    <pivotField showAll="0"/>
    <pivotField axis="axisRow" showAll="0">
      <items count="5">
        <item x="2"/>
        <item x="0"/>
        <item x="3"/>
        <item x="1"/>
        <item t="default"/>
      </items>
    </pivotField>
    <pivotField showAll="0"/>
    <pivotField showAll="0"/>
    <pivotField dataField="1" showAll="0"/>
    <pivotField showAll="0"/>
  </pivotFields>
  <rowFields count="1">
    <field x="3"/>
  </rowFields>
  <rowItems count="5">
    <i>
      <x/>
    </i>
    <i>
      <x v="1"/>
    </i>
    <i>
      <x v="2"/>
    </i>
    <i>
      <x v="3"/>
    </i>
    <i t="grand">
      <x/>
    </i>
  </rowItems>
  <colItems count="1">
    <i/>
  </colItems>
  <dataFields count="1">
    <dataField name="Sum of Total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G4:H6" firstHeaderRow="1" firstDataRow="1" firstDataCol="1"/>
  <pivotFields count="8">
    <pivotField showAll="0"/>
    <pivotField showAll="0"/>
    <pivotField showAll="0"/>
    <pivotField showAll="0"/>
    <pivotField showAll="0"/>
    <pivotField showAll="0"/>
    <pivotField dataField="1" showAll="0">
      <items count="9">
        <item x="5"/>
        <item x="3"/>
        <item x="2"/>
        <item x="0"/>
        <item x="4"/>
        <item x="1"/>
        <item x="7"/>
        <item x="6"/>
        <item t="default"/>
      </items>
    </pivotField>
    <pivotField axis="axisRow" showAll="0" defaultSubtotal="0">
      <items count="1">
        <item x="0"/>
      </items>
    </pivotField>
  </pivotFields>
  <rowFields count="1">
    <field x="7"/>
  </rowFields>
  <rowItems count="2">
    <i>
      <x/>
    </i>
    <i t="grand">
      <x/>
    </i>
  </rowItems>
  <colItems count="1">
    <i/>
  </colItems>
  <dataFields count="1">
    <dataField name="Sum of Total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D4:E8" firstHeaderRow="1" firstDataRow="1" firstDataCol="1"/>
  <pivotFields count="8">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defaultSubtotal="0"/>
  </pivotFields>
  <rowFields count="1">
    <field x="2"/>
  </rowFields>
  <rowItems count="4">
    <i>
      <x v="1"/>
    </i>
    <i>
      <x/>
    </i>
    <i>
      <x v="2"/>
    </i>
    <i t="grand">
      <x/>
    </i>
  </rowItems>
  <colItems count="1">
    <i/>
  </colItems>
  <dataFields count="1">
    <dataField name="Sum of Total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L3:M5" firstHeaderRow="1" firstDataRow="1" firstDataCol="1"/>
  <pivotFields count="8">
    <pivotField showAll="0"/>
    <pivotField showAll="0">
      <items count="5">
        <item x="2"/>
        <item x="0"/>
        <item x="1"/>
        <item x="3"/>
        <item t="default"/>
      </items>
    </pivotField>
    <pivotField showAll="0">
      <items count="4">
        <item x="0"/>
        <item x="1"/>
        <item x="2"/>
        <item t="default"/>
      </items>
    </pivotField>
    <pivotField showAll="0">
      <items count="5">
        <item x="2"/>
        <item x="0"/>
        <item x="3"/>
        <item x="1"/>
        <item t="default"/>
      </items>
    </pivotField>
    <pivotField showAll="0"/>
    <pivotField showAll="0"/>
    <pivotField dataField="1" showAll="0">
      <items count="9">
        <item x="5"/>
        <item x="3"/>
        <item x="2"/>
        <item x="0"/>
        <item x="4"/>
        <item x="1"/>
        <item x="7"/>
        <item x="6"/>
        <item t="default"/>
      </items>
    </pivotField>
    <pivotField axis="axisRow" showAll="0">
      <items count="2">
        <item x="0"/>
        <item t="default"/>
      </items>
    </pivotField>
  </pivotFields>
  <rowFields count="1">
    <field x="7"/>
  </rowFields>
  <rowItems count="2">
    <i>
      <x/>
    </i>
    <i t="grand">
      <x/>
    </i>
  </rowItems>
  <colItems count="1">
    <i/>
  </colItems>
  <dataFields count="1">
    <dataField name="Sum of Total Sales" fld="6" baseField="0" baseItem="0"/>
  </dataFields>
  <chartFormats count="1">
    <chartFormat chart="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A16:B20" firstHeaderRow="1" firstDataRow="1" firstDataCol="1"/>
  <pivotFields count="8">
    <pivotField showAll="0"/>
    <pivotField showAll="0"/>
    <pivotField axis="axisRow" showAll="0">
      <items count="4">
        <item x="0"/>
        <item x="1"/>
        <item x="2"/>
        <item t="default"/>
      </items>
    </pivotField>
    <pivotField showAll="0"/>
    <pivotField showAll="0"/>
    <pivotField showAll="0"/>
    <pivotField dataField="1" showAll="0"/>
    <pivotField showAll="0"/>
  </pivotFields>
  <rowFields count="1">
    <field x="2"/>
  </rowFields>
  <rowItems count="4">
    <i>
      <x/>
    </i>
    <i>
      <x v="1"/>
    </i>
    <i>
      <x v="2"/>
    </i>
    <i t="grand">
      <x/>
    </i>
  </rowItems>
  <colItems count="1">
    <i/>
  </colItems>
  <dataFields count="1">
    <dataField name="Sum of Total Sales"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A2:B7" firstHeaderRow="1" firstDataRow="1" firstDataCol="1"/>
  <pivotFields count="8">
    <pivotField showAll="0"/>
    <pivotField axis="axisRow" showAll="0">
      <items count="5">
        <item x="2"/>
        <item x="0"/>
        <item x="1"/>
        <item x="3"/>
        <item t="default"/>
      </items>
    </pivotField>
    <pivotField showAll="0"/>
    <pivotField showAll="0"/>
    <pivotField showAll="0"/>
    <pivotField showAll="0"/>
    <pivotField dataField="1" showAll="0"/>
    <pivotField showAll="0"/>
  </pivotFields>
  <rowFields count="1">
    <field x="1"/>
  </rowFields>
  <rowItems count="5">
    <i>
      <x/>
    </i>
    <i>
      <x v="1"/>
    </i>
    <i>
      <x v="2"/>
    </i>
    <i>
      <x v="3"/>
    </i>
    <i t="grand">
      <x/>
    </i>
  </rowItems>
  <colItems count="1">
    <i/>
  </colItems>
  <dataFields count="1">
    <dataField name="Sum of Total Sales"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7" name="PivotTable10"/>
  </pivotTables>
  <data>
    <tabular pivotCacheId="1">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7" name="PivotTable10"/>
  </pivotTables>
  <data>
    <tabular pivotCacheId="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alesperson" sourceName="Salesperson">
  <pivotTables>
    <pivotTable tabId="7" name="PivotTable10"/>
  </pivotTables>
  <data>
    <tabular pivotCacheId="1">
      <items count="4">
        <i x="2" s="1"/>
        <i x="0"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 name="Product" cache="Slicer_Product" caption="Product" rowHeight="241300"/>
  <slicer name="Salesperson" cache="Slicer_Salesperson" caption="Salesperson" rowHeight="241300"/>
</slicers>
</file>

<file path=xl/tables/table1.xml><?xml version="1.0" encoding="utf-8"?>
<table xmlns="http://schemas.openxmlformats.org/spreadsheetml/2006/main" id="1" name="Table1" displayName="Table1" ref="A1:H13" totalsRowShown="0">
  <autoFilter ref="A1:H13"/>
  <tableColumns count="8">
    <tableColumn id="1" name="Order Date"/>
    <tableColumn id="2" name="Region"/>
    <tableColumn id="3" name="Product"/>
    <tableColumn id="4" name="Salesperson"/>
    <tableColumn id="5" name="Units Sold"/>
    <tableColumn id="6" name="Unit Price"/>
    <tableColumn id="7" name="Total Sales" dataDxfId="1">
      <calculatedColumnFormula>E2*F2</calculatedColumnFormula>
    </tableColumn>
    <tableColumn id="8" name="Month" dataDxfId="0">
      <calculatedColumnFormula>TEXT(A2,"mmm")</calculatedColumnFormula>
    </tableColumn>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3"/>
  <sheetViews>
    <sheetView zoomScaleNormal="100" workbookViewId="0">
      <selection activeCell="H15" sqref="H15"/>
    </sheetView>
  </sheetViews>
  <sheetFormatPr defaultRowHeight="14.5" x14ac:dyDescent="0.35"/>
  <cols>
    <col min="1" max="1" width="12.54296875" customWidth="1"/>
    <col min="2" max="2" width="11.7265625" customWidth="1"/>
    <col min="3" max="3" width="9.26953125" customWidth="1"/>
    <col min="4" max="4" width="12.81640625" customWidth="1"/>
    <col min="5" max="5" width="11.08984375" customWidth="1"/>
    <col min="6" max="6" width="10.7265625" customWidth="1"/>
    <col min="7" max="7" width="12" bestFit="1" customWidth="1"/>
    <col min="8" max="8" width="8.81640625" bestFit="1" customWidth="1"/>
  </cols>
  <sheetData>
    <row r="1" spans="1:8" x14ac:dyDescent="0.35">
      <c r="A1" s="2" t="s">
        <v>0</v>
      </c>
      <c r="B1" t="s">
        <v>1</v>
      </c>
      <c r="C1" t="s">
        <v>2</v>
      </c>
      <c r="D1" t="s">
        <v>3</v>
      </c>
      <c r="E1" s="1" t="s">
        <v>4</v>
      </c>
      <c r="F1" s="1" t="s">
        <v>5</v>
      </c>
      <c r="G1" t="s">
        <v>29</v>
      </c>
      <c r="H1" s="6" t="s">
        <v>33</v>
      </c>
    </row>
    <row r="2" spans="1:8" x14ac:dyDescent="0.35">
      <c r="A2" t="s">
        <v>6</v>
      </c>
      <c r="B2" t="s">
        <v>7</v>
      </c>
      <c r="C2" t="s">
        <v>8</v>
      </c>
      <c r="D2" t="s">
        <v>9</v>
      </c>
      <c r="E2">
        <v>2</v>
      </c>
      <c r="F2">
        <v>85000</v>
      </c>
      <c r="G2">
        <f t="shared" ref="G2:G13" si="0">E2*F2</f>
        <v>170000</v>
      </c>
      <c r="H2" t="str">
        <f t="shared" ref="H2:H13" si="1">TEXT(A2,"mmm")</f>
        <v>Jan</v>
      </c>
    </row>
    <row r="3" spans="1:8" x14ac:dyDescent="0.35">
      <c r="A3" t="s">
        <v>10</v>
      </c>
      <c r="B3" t="s">
        <v>11</v>
      </c>
      <c r="C3" t="s">
        <v>12</v>
      </c>
      <c r="D3" t="s">
        <v>13</v>
      </c>
      <c r="E3">
        <v>5</v>
      </c>
      <c r="F3">
        <v>45000</v>
      </c>
      <c r="G3">
        <f t="shared" si="0"/>
        <v>225000</v>
      </c>
      <c r="H3" t="str">
        <f t="shared" si="1"/>
        <v>Jan</v>
      </c>
    </row>
    <row r="4" spans="1:8" x14ac:dyDescent="0.35">
      <c r="A4" t="s">
        <v>14</v>
      </c>
      <c r="B4" t="s">
        <v>15</v>
      </c>
      <c r="C4" t="s">
        <v>16</v>
      </c>
      <c r="D4" t="s">
        <v>17</v>
      </c>
      <c r="E4">
        <v>3</v>
      </c>
      <c r="F4">
        <v>30000</v>
      </c>
      <c r="G4">
        <f t="shared" si="0"/>
        <v>90000</v>
      </c>
      <c r="H4" t="str">
        <f t="shared" si="1"/>
        <v>Jan</v>
      </c>
    </row>
    <row r="5" spans="1:8" x14ac:dyDescent="0.35">
      <c r="A5" t="s">
        <v>18</v>
      </c>
      <c r="B5" t="s">
        <v>19</v>
      </c>
      <c r="C5" t="s">
        <v>8</v>
      </c>
      <c r="D5" t="s">
        <v>20</v>
      </c>
      <c r="E5">
        <v>1</v>
      </c>
      <c r="F5">
        <v>85000</v>
      </c>
      <c r="G5">
        <f t="shared" si="0"/>
        <v>85000</v>
      </c>
      <c r="H5" t="str">
        <f t="shared" si="1"/>
        <v>Jan</v>
      </c>
    </row>
    <row r="6" spans="1:8" x14ac:dyDescent="0.35">
      <c r="A6" t="s">
        <v>21</v>
      </c>
      <c r="B6" t="s">
        <v>7</v>
      </c>
      <c r="C6" t="s">
        <v>12</v>
      </c>
      <c r="D6" t="s">
        <v>9</v>
      </c>
      <c r="E6">
        <v>4</v>
      </c>
      <c r="F6">
        <v>45000</v>
      </c>
      <c r="G6">
        <f t="shared" si="0"/>
        <v>180000</v>
      </c>
      <c r="H6" t="str">
        <f t="shared" si="1"/>
        <v>Jan</v>
      </c>
    </row>
    <row r="7" spans="1:8" x14ac:dyDescent="0.35">
      <c r="A7" t="s">
        <v>22</v>
      </c>
      <c r="B7" t="s">
        <v>11</v>
      </c>
      <c r="C7" t="s">
        <v>16</v>
      </c>
      <c r="D7" t="s">
        <v>13</v>
      </c>
      <c r="E7">
        <v>2</v>
      </c>
      <c r="F7">
        <v>30000</v>
      </c>
      <c r="G7">
        <f t="shared" si="0"/>
        <v>60000</v>
      </c>
      <c r="H7" t="str">
        <f t="shared" si="1"/>
        <v>Jan</v>
      </c>
    </row>
    <row r="8" spans="1:8" x14ac:dyDescent="0.35">
      <c r="A8" t="s">
        <v>23</v>
      </c>
      <c r="B8" t="s">
        <v>15</v>
      </c>
      <c r="C8" t="s">
        <v>8</v>
      </c>
      <c r="D8" t="s">
        <v>17</v>
      </c>
      <c r="E8">
        <v>1</v>
      </c>
      <c r="F8">
        <v>85000</v>
      </c>
      <c r="G8">
        <f t="shared" si="0"/>
        <v>85000</v>
      </c>
      <c r="H8" t="str">
        <f t="shared" si="1"/>
        <v>Jan</v>
      </c>
    </row>
    <row r="9" spans="1:8" x14ac:dyDescent="0.35">
      <c r="A9" t="s">
        <v>24</v>
      </c>
      <c r="B9" t="s">
        <v>19</v>
      </c>
      <c r="C9" t="s">
        <v>12</v>
      </c>
      <c r="D9" t="s">
        <v>20</v>
      </c>
      <c r="E9">
        <v>6</v>
      </c>
      <c r="F9">
        <v>45000</v>
      </c>
      <c r="G9">
        <f t="shared" si="0"/>
        <v>270000</v>
      </c>
      <c r="H9" t="str">
        <f t="shared" si="1"/>
        <v>Jan</v>
      </c>
    </row>
    <row r="10" spans="1:8" x14ac:dyDescent="0.35">
      <c r="A10" t="s">
        <v>25</v>
      </c>
      <c r="B10" t="s">
        <v>7</v>
      </c>
      <c r="C10" t="s">
        <v>16</v>
      </c>
      <c r="D10" t="s">
        <v>9</v>
      </c>
      <c r="E10">
        <v>2</v>
      </c>
      <c r="F10">
        <v>30000</v>
      </c>
      <c r="G10">
        <f t="shared" si="0"/>
        <v>60000</v>
      </c>
      <c r="H10" t="str">
        <f t="shared" si="1"/>
        <v>Jan</v>
      </c>
    </row>
    <row r="11" spans="1:8" x14ac:dyDescent="0.35">
      <c r="A11" t="s">
        <v>26</v>
      </c>
      <c r="B11" t="s">
        <v>11</v>
      </c>
      <c r="C11" t="s">
        <v>8</v>
      </c>
      <c r="D11" t="s">
        <v>13</v>
      </c>
      <c r="E11">
        <v>3</v>
      </c>
      <c r="F11">
        <v>85000</v>
      </c>
      <c r="G11">
        <f t="shared" si="0"/>
        <v>255000</v>
      </c>
      <c r="H11" t="str">
        <f t="shared" si="1"/>
        <v>Jan</v>
      </c>
    </row>
    <row r="12" spans="1:8" x14ac:dyDescent="0.35">
      <c r="A12" t="s">
        <v>27</v>
      </c>
      <c r="B12" t="s">
        <v>15</v>
      </c>
      <c r="C12" t="s">
        <v>12</v>
      </c>
      <c r="D12" t="s">
        <v>17</v>
      </c>
      <c r="E12">
        <v>4</v>
      </c>
      <c r="F12">
        <v>45000</v>
      </c>
      <c r="G12">
        <f t="shared" si="0"/>
        <v>180000</v>
      </c>
      <c r="H12" t="str">
        <f t="shared" si="1"/>
        <v>Jan</v>
      </c>
    </row>
    <row r="13" spans="1:8" x14ac:dyDescent="0.35">
      <c r="A13" t="s">
        <v>28</v>
      </c>
      <c r="B13" t="s">
        <v>19</v>
      </c>
      <c r="C13" t="s">
        <v>16</v>
      </c>
      <c r="D13" t="s">
        <v>20</v>
      </c>
      <c r="E13">
        <v>3</v>
      </c>
      <c r="F13">
        <v>30000</v>
      </c>
      <c r="G13">
        <f t="shared" si="0"/>
        <v>90000</v>
      </c>
      <c r="H13" t="str">
        <f t="shared" si="1"/>
        <v>Jan</v>
      </c>
    </row>
  </sheetData>
  <pageMargins left="0.75" right="0.75" top="1" bottom="1" header="0.5" footer="0.5"/>
  <pageSetup orientation="portrait" r:id="rId1"/>
  <headerFooter>
    <oddHeader>&amp;CSales Perforamnce Analysis</oddHead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H16"/>
  <sheetViews>
    <sheetView workbookViewId="0">
      <selection activeCell="L17" sqref="L17"/>
    </sheetView>
  </sheetViews>
  <sheetFormatPr defaultRowHeight="14.5" x14ac:dyDescent="0.35"/>
  <cols>
    <col min="1" max="1" width="12.36328125" bestFit="1" customWidth="1"/>
    <col min="2" max="2" width="16.08984375" bestFit="1" customWidth="1"/>
    <col min="4" max="4" width="12.36328125" bestFit="1" customWidth="1"/>
    <col min="5" max="5" width="16.08984375" bestFit="1" customWidth="1"/>
    <col min="7" max="7" width="12.36328125" customWidth="1"/>
    <col min="8" max="8" width="16.08984375" customWidth="1"/>
  </cols>
  <sheetData>
    <row r="3" spans="1:8" x14ac:dyDescent="0.35">
      <c r="A3" s="3" t="s">
        <v>30</v>
      </c>
      <c r="B3" t="s">
        <v>32</v>
      </c>
    </row>
    <row r="4" spans="1:8" x14ac:dyDescent="0.35">
      <c r="A4" s="4" t="s">
        <v>11</v>
      </c>
      <c r="B4" s="5">
        <v>540000</v>
      </c>
      <c r="D4" s="3" t="s">
        <v>30</v>
      </c>
      <c r="E4" t="s">
        <v>32</v>
      </c>
      <c r="G4" s="3" t="s">
        <v>30</v>
      </c>
      <c r="H4" t="s">
        <v>32</v>
      </c>
    </row>
    <row r="5" spans="1:8" x14ac:dyDescent="0.35">
      <c r="A5" s="4" t="s">
        <v>19</v>
      </c>
      <c r="B5" s="5">
        <v>445000</v>
      </c>
      <c r="D5" s="4" t="s">
        <v>12</v>
      </c>
      <c r="E5" s="5">
        <v>855000</v>
      </c>
      <c r="G5" s="4" t="s">
        <v>34</v>
      </c>
      <c r="H5" s="5">
        <v>1750000</v>
      </c>
    </row>
    <row r="6" spans="1:8" x14ac:dyDescent="0.35">
      <c r="A6" s="4" t="s">
        <v>7</v>
      </c>
      <c r="B6" s="5">
        <v>410000</v>
      </c>
      <c r="D6" s="4" t="s">
        <v>8</v>
      </c>
      <c r="E6" s="5">
        <v>595000</v>
      </c>
      <c r="G6" s="4" t="s">
        <v>31</v>
      </c>
      <c r="H6" s="5">
        <v>1750000</v>
      </c>
    </row>
    <row r="7" spans="1:8" x14ac:dyDescent="0.35">
      <c r="A7" s="4" t="s">
        <v>15</v>
      </c>
      <c r="B7" s="5">
        <v>355000</v>
      </c>
      <c r="D7" s="4" t="s">
        <v>16</v>
      </c>
      <c r="E7" s="5">
        <v>300000</v>
      </c>
    </row>
    <row r="8" spans="1:8" x14ac:dyDescent="0.35">
      <c r="A8" s="4" t="s">
        <v>31</v>
      </c>
      <c r="B8" s="5">
        <v>1750000</v>
      </c>
      <c r="D8" s="4" t="s">
        <v>31</v>
      </c>
      <c r="E8" s="5">
        <v>1750000</v>
      </c>
    </row>
    <row r="11" spans="1:8" x14ac:dyDescent="0.35">
      <c r="A11" s="3" t="s">
        <v>30</v>
      </c>
      <c r="B11" t="s">
        <v>32</v>
      </c>
    </row>
    <row r="12" spans="1:8" x14ac:dyDescent="0.35">
      <c r="A12" s="4" t="s">
        <v>17</v>
      </c>
      <c r="B12" s="5">
        <v>355000</v>
      </c>
    </row>
    <row r="13" spans="1:8" x14ac:dyDescent="0.35">
      <c r="A13" s="4" t="s">
        <v>9</v>
      </c>
      <c r="B13" s="5">
        <v>410000</v>
      </c>
    </row>
    <row r="14" spans="1:8" x14ac:dyDescent="0.35">
      <c r="A14" s="4" t="s">
        <v>20</v>
      </c>
      <c r="B14" s="5">
        <v>445000</v>
      </c>
    </row>
    <row r="15" spans="1:8" x14ac:dyDescent="0.35">
      <c r="A15" s="4" t="s">
        <v>13</v>
      </c>
      <c r="B15" s="5">
        <v>540000</v>
      </c>
    </row>
    <row r="16" spans="1:8" x14ac:dyDescent="0.35">
      <c r="A16" s="4" t="s">
        <v>31</v>
      </c>
      <c r="B16" s="5">
        <v>1750000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M20"/>
  <sheetViews>
    <sheetView tabSelected="1" zoomScale="80" zoomScaleNormal="80" workbookViewId="0">
      <selection activeCell="O20" sqref="O20"/>
    </sheetView>
  </sheetViews>
  <sheetFormatPr defaultRowHeight="14.5" x14ac:dyDescent="0.35"/>
  <cols>
    <col min="1" max="1" width="12.36328125" bestFit="1" customWidth="1"/>
    <col min="2" max="2" width="16.08984375" bestFit="1" customWidth="1"/>
    <col min="12" max="12" width="13.36328125" customWidth="1"/>
    <col min="13" max="13" width="16.81640625" customWidth="1"/>
  </cols>
  <sheetData>
    <row r="2" spans="1:13" x14ac:dyDescent="0.35">
      <c r="A2" s="3" t="s">
        <v>30</v>
      </c>
      <c r="B2" t="s">
        <v>32</v>
      </c>
    </row>
    <row r="3" spans="1:13" x14ac:dyDescent="0.35">
      <c r="A3" s="4" t="s">
        <v>15</v>
      </c>
      <c r="B3" s="5">
        <v>355000</v>
      </c>
      <c r="L3" s="3" t="s">
        <v>30</v>
      </c>
      <c r="M3" t="s">
        <v>32</v>
      </c>
    </row>
    <row r="4" spans="1:13" x14ac:dyDescent="0.35">
      <c r="A4" s="4" t="s">
        <v>7</v>
      </c>
      <c r="B4" s="5">
        <v>410000</v>
      </c>
      <c r="L4" s="4" t="s">
        <v>34</v>
      </c>
      <c r="M4" s="5">
        <v>1750000</v>
      </c>
    </row>
    <row r="5" spans="1:13" x14ac:dyDescent="0.35">
      <c r="A5" s="4" t="s">
        <v>11</v>
      </c>
      <c r="B5" s="5">
        <v>540000</v>
      </c>
      <c r="L5" s="4" t="s">
        <v>31</v>
      </c>
      <c r="M5" s="5">
        <v>1750000</v>
      </c>
    </row>
    <row r="6" spans="1:13" x14ac:dyDescent="0.35">
      <c r="A6" s="4" t="s">
        <v>19</v>
      </c>
      <c r="B6" s="5">
        <v>445000</v>
      </c>
    </row>
    <row r="7" spans="1:13" x14ac:dyDescent="0.35">
      <c r="A7" s="4" t="s">
        <v>31</v>
      </c>
      <c r="B7" s="5">
        <v>1750000</v>
      </c>
    </row>
    <row r="16" spans="1:13" x14ac:dyDescent="0.35">
      <c r="A16" s="3" t="s">
        <v>30</v>
      </c>
      <c r="B16" t="s">
        <v>32</v>
      </c>
    </row>
    <row r="17" spans="1:2" x14ac:dyDescent="0.35">
      <c r="A17" s="4" t="s">
        <v>8</v>
      </c>
      <c r="B17" s="5">
        <v>595000</v>
      </c>
    </row>
    <row r="18" spans="1:2" x14ac:dyDescent="0.35">
      <c r="A18" s="4" t="s">
        <v>12</v>
      </c>
      <c r="B18" s="5">
        <v>855000</v>
      </c>
    </row>
    <row r="19" spans="1:2" x14ac:dyDescent="0.35">
      <c r="A19" s="4" t="s">
        <v>16</v>
      </c>
      <c r="B19" s="5">
        <v>300000</v>
      </c>
    </row>
    <row r="20" spans="1:2" x14ac:dyDescent="0.35">
      <c r="A20" s="4" t="s">
        <v>31</v>
      </c>
      <c r="B20" s="5">
        <v>1750000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Sales_Data</vt:lpstr>
      <vt:lpstr>Pivot Tables</vt: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 Hafiz Enterprises</cp:lastModifiedBy>
  <dcterms:created xsi:type="dcterms:W3CDTF">2026-01-03T05:28:30Z</dcterms:created>
  <dcterms:modified xsi:type="dcterms:W3CDTF">2026-01-03T08:15:49Z</dcterms:modified>
</cp:coreProperties>
</file>